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推荐资料库"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资料名称</t>
        </is>
      </c>
      <c r="B1" s="1" t="inlineStr">
        <is>
          <t>资料类型</t>
        </is>
      </c>
      <c r="C1" s="1" t="inlineStr">
        <is>
          <t>资料链接</t>
        </is>
      </c>
      <c r="D1" s="1" t="inlineStr">
        <is>
          <t>能力主题</t>
        </is>
      </c>
      <c r="E1" s="1" t="inlineStr">
        <is>
          <t>推荐程度</t>
        </is>
      </c>
      <c r="F1" s="1" t="inlineStr">
        <is>
          <t>推荐理由</t>
        </is>
      </c>
      <c r="G1" s="1" t="inlineStr">
        <is>
          <t>推荐人</t>
        </is>
      </c>
    </row>
    <row r="2" ht="25.5" customHeight="1">
      <c r="A2" t="inlineStr">
        <is>
          <t>《AI Engineering: Building Applications with Foundation Models》</t>
        </is>
      </c>
      <c r="B2" t="inlineStr">
        <is>
          <t>书籍</t>
        </is>
      </c>
      <c r="C2" s="2"/>
      <c r="D2" t="inlineStr">
        <is>
          <t>【全员通用】通用AI素养与AI Fluency 4D框架</t>
        </is>
      </c>
      <c r="E2" t="inlineStr">
        <is>
          <t>⭐⭐⭐</t>
        </is>
      </c>
      <c r="F2" t="inlineStr">
        <is>
          <t>来自AI-Native能力模型_学习进阶路径与参考资料库的官方推荐</t>
        </is>
      </c>
      <c r="G2"/>
    </row>
    <row r="3" ht="25.5" customHeight="1">
      <c r="A3" t="inlineStr">
        <is>
          <t>Anthropic《AI Fluency: Framework &amp; Foundations》(Coursera，免费)</t>
        </is>
      </c>
      <c r="B3" t="inlineStr">
        <is>
          <t>在线课程/官方文档</t>
        </is>
      </c>
      <c r="C3" s="2" t="str">
        <f>=HYPERLINK("https://www.coursera.org/learn/ai-fluency-framework-foundations", "https://www.coursera.org/learn/ai-fluency-framework-foundations")</f>
        <v>https://www.coursera.org/learn/ai-fluency-framework-foundations</v>
      </c>
      <c r="D3" t="inlineStr">
        <is>
          <t>【全员通用】通用AI素养与AI Fluency 4D框架</t>
        </is>
      </c>
      <c r="E3" t="inlineStr">
        <is>
          <t>⭐⭐⭐</t>
        </is>
      </c>
      <c r="F3" t="inlineStr">
        <is>
          <t>来自AI-Native能力模型_学习进阶路径与参考资料库的官方推荐</t>
        </is>
      </c>
      <c r="G3"/>
    </row>
    <row r="4" ht="25.5" customHeight="1">
      <c r="A4" t="inlineStr">
        <is>
          <t>Skilljar版</t>
        </is>
      </c>
      <c r="B4" t="inlineStr">
        <is>
          <t>在线课程/官方文档</t>
        </is>
      </c>
      <c r="C4" s="2" t="str">
        <f>=HYPERLINK("https://anthropic.skilljar.com/ai-fluency-framework-foundations", "https://anthropic.skilljar.com/ai-fluency-framework-foundations")</f>
        <v>https://anthropic.skilljar.com/ai-fluency-framework-foundations</v>
      </c>
      <c r="D4" t="inlineStr">
        <is>
          <t>【全员通用】通用AI素养与AI Fluency 4D框架</t>
        </is>
      </c>
      <c r="E4" t="inlineStr">
        <is>
          <t>⭐⭐⭐</t>
        </is>
      </c>
      <c r="F4" t="inlineStr">
        <is>
          <t>来自AI-Native能力模型_学习进阶路径与参考资料库的官方推荐</t>
        </is>
      </c>
      <c r="G4"/>
    </row>
    <row r="5" ht="25.5" customHeight="1">
      <c r="A5" t="inlineStr">
        <is>
          <t>Coursera Blog《Anthropic launches five free courses on Coursera》</t>
        </is>
      </c>
      <c r="B5" t="inlineStr">
        <is>
          <t>文章/其他资料</t>
        </is>
      </c>
      <c r="C5" s="2" t="str">
        <f>=HYPERLINK("https://blog.coursera.org/anthropic-launches-five-free-courses-on-coursera-to-help-build-ai-fluency/", "https://blog.coursera.org/anthropic-launches-five-free-courses-on-coursera-to-help-build-ai-fluency/")</f>
        <v>https://blog.coursera.org/anthropic-launches-five-free-courses-on-coursera-to-help-build-ai-fluency/</v>
      </c>
      <c r="D5" t="inlineStr">
        <is>
          <t>【全员通用】通用AI素养与AI Fluency 4D框架</t>
        </is>
      </c>
      <c r="E5" t="inlineStr">
        <is>
          <t>⭐⭐⭐</t>
        </is>
      </c>
      <c r="F5" t="inlineStr">
        <is>
          <t>来自AI-Native能力模型_学习进阶路径与参考资料库的官方推荐</t>
        </is>
      </c>
      <c r="G5"/>
    </row>
    <row r="6" ht="25.5" customHeight="1">
      <c r="A6" t="inlineStr">
        <is>
          <t>《Designing Large Language Model Applications》</t>
        </is>
      </c>
      <c r="B6" t="inlineStr">
        <is>
          <t>书籍</t>
        </is>
      </c>
      <c r="C6" s="2"/>
      <c r="D6" t="inlineStr">
        <is>
          <t>【全员通用】Prompt工程基础与进阶</t>
        </is>
      </c>
      <c r="E6" t="inlineStr">
        <is>
          <t>⭐⭐⭐</t>
        </is>
      </c>
      <c r="F6" t="inlineStr">
        <is>
          <t>来自AI-Native能力模型_学习进阶路径与参考资料库的官方推荐</t>
        </is>
      </c>
      <c r="G6"/>
    </row>
    <row r="7" ht="25.5" customHeight="1">
      <c r="A7" t="inlineStr">
        <is>
          <t>Anthropic官方互动教程《Prompt Engineering Interactive Tutorial》(GitHub，免费)</t>
        </is>
      </c>
      <c r="B7" t="inlineStr">
        <is>
          <t>在线课程/官方文档</t>
        </is>
      </c>
      <c r="C7" s="2" t="str">
        <f>=HYPERLINK("https://github.com/anthropics/prompt-eng-interactive-tutorial", "https://github.com/anthropics/prompt-eng-interactive-tutorial")</f>
        <v>https://github.com/anthropics/prompt-eng-interactive-tutorial</v>
      </c>
      <c r="D7" t="inlineStr">
        <is>
          <t>【全员通用】Prompt工程基础与进阶</t>
        </is>
      </c>
      <c r="E7" t="inlineStr">
        <is>
          <t>⭐⭐⭐</t>
        </is>
      </c>
      <c r="F7" t="inlineStr">
        <is>
          <t>来自AI-Native能力模型_学习进阶路径与参考资料库的官方推荐</t>
        </is>
      </c>
      <c r="G7"/>
    </row>
    <row r="8" ht="25.5" customHeight="1">
      <c r="A8" t="inlineStr">
        <is>
          <t>DeepLearning.AI《ChatGPT Prompt Engineering for Developers》</t>
        </is>
      </c>
      <c r="B8" t="inlineStr">
        <is>
          <t>在线课程/官方文档</t>
        </is>
      </c>
      <c r="C8" s="2" t="str">
        <f>=HYPERLINK("https://www.deeplearning.ai/courses/", "https://www.deeplearning.ai/courses/")</f>
        <v>https://www.deeplearning.ai/courses/</v>
      </c>
      <c r="D8" t="inlineStr">
        <is>
          <t>【全员通用】Prompt工程基础与进阶</t>
        </is>
      </c>
      <c r="E8" t="inlineStr">
        <is>
          <t>⭐⭐⭐</t>
        </is>
      </c>
      <c r="F8" t="inlineStr">
        <is>
          <t>来自AI-Native能力模型_学习进阶路径与参考资料库的官方推荐</t>
        </is>
      </c>
      <c r="G8"/>
    </row>
    <row r="9" ht="25.5" customHeight="1">
      <c r="A9" t="inlineStr">
        <is>
          <t>Anthropic Prompt Engineering官方文档</t>
        </is>
      </c>
      <c r="B9" t="inlineStr">
        <is>
          <t>文章/其他资料</t>
        </is>
      </c>
      <c r="C9" s="2" t="str">
        <f>=HYPERLINK("https://docs.claude.com", "https://docs.claude.com")</f>
        <v>https://docs.claude.com</v>
      </c>
      <c r="D9" t="inlineStr">
        <is>
          <t>【全员通用】Prompt工程基础与进阶</t>
        </is>
      </c>
      <c r="E9" t="inlineStr">
        <is>
          <t>⭐⭐⭐</t>
        </is>
      </c>
      <c r="F9" t="inlineStr">
        <is>
          <t>来自AI-Native能力模型_学习进阶路径与参考资料库的官方推荐</t>
        </is>
      </c>
      <c r="G9"/>
    </row>
    <row r="10" ht="25.5" customHeight="1">
      <c r="A10" t="inlineStr">
        <is>
          <t>《Building a Second Brain》</t>
        </is>
      </c>
      <c r="B10" t="inlineStr">
        <is>
          <t>书籍</t>
        </is>
      </c>
      <c r="C10" s="2"/>
      <c r="D10" t="inlineStr">
        <is>
          <t>【全员通用】知识工程与Context管理</t>
        </is>
      </c>
      <c r="E10" t="inlineStr">
        <is>
          <t>⭐⭐⭐</t>
        </is>
      </c>
      <c r="F10" t="inlineStr">
        <is>
          <t>来自AI-Native能力模型_学习进阶路径与参考资料库的官方推荐</t>
        </is>
      </c>
      <c r="G10"/>
    </row>
    <row r="11" ht="25.5" customHeight="1">
      <c r="A11" t="inlineStr">
        <is>
          <t>Notion官方文档</t>
        </is>
      </c>
      <c r="B11" t="inlineStr">
        <is>
          <t>在线课程/官方文档</t>
        </is>
      </c>
      <c r="C11" s="2" t="str">
        <f>=HYPERLINK("https://www.notion.com/help", "https://www.notion.com/help")</f>
        <v>https://www.notion.com/help</v>
      </c>
      <c r="D11" t="inlineStr">
        <is>
          <t>【全员通用】知识工程与Context管理</t>
        </is>
      </c>
      <c r="E11" t="inlineStr">
        <is>
          <t>⭐⭐⭐</t>
        </is>
      </c>
      <c r="F11" t="inlineStr">
        <is>
          <t>来自AI-Native能力模型_学习进阶路径与参考资料库的官方推荐</t>
        </is>
      </c>
      <c r="G11"/>
    </row>
    <row r="12" ht="25.5" customHeight="1">
      <c r="A12" t="inlineStr">
        <is>
          <t>Obsidian官方文档</t>
        </is>
      </c>
      <c r="B12" t="inlineStr">
        <is>
          <t>在线课程/官方文档</t>
        </is>
      </c>
      <c r="C12" s="2" t="str">
        <f>=HYPERLINK("https://help.obsidian.md", "https://help.obsidian.md")</f>
        <v>https://help.obsidian.md</v>
      </c>
      <c r="D12" t="inlineStr">
        <is>
          <t>【全员通用】知识工程与Context管理</t>
        </is>
      </c>
      <c r="E12" t="inlineStr">
        <is>
          <t>⭐⭐⭐</t>
        </is>
      </c>
      <c r="F12" t="inlineStr">
        <is>
          <t>来自AI-Native能力模型_学习进阶路径与参考资料库的官方推荐</t>
        </is>
      </c>
      <c r="G12"/>
    </row>
    <row r="13" ht="25.5" customHeight="1">
      <c r="A13" t="inlineStr">
        <is>
          <t>《AI Engineering: Building Applications with Foundation Models》</t>
        </is>
      </c>
      <c r="B13" t="inlineStr">
        <is>
          <t>书籍</t>
        </is>
      </c>
      <c r="C13" s="2"/>
      <c r="D13" t="inlineStr">
        <is>
          <t>【技术-应用】AI辅助开发(架构设计,  编码与代码审查等)</t>
        </is>
      </c>
      <c r="E13" t="inlineStr">
        <is>
          <t>⭐⭐⭐</t>
        </is>
      </c>
      <c r="F13" t="inlineStr">
        <is>
          <t>来自AI-Native能力模型_学习进阶路径与参考资料库的官方推荐</t>
        </is>
      </c>
      <c r="G13"/>
    </row>
    <row r="14" ht="25.5" customHeight="1">
      <c r="A14" t="inlineStr">
        <is>
          <t>GitHub Copilot官方文档</t>
        </is>
      </c>
      <c r="B14" t="inlineStr">
        <is>
          <t>在线课程/官方文档</t>
        </is>
      </c>
      <c r="C14" s="2" t="str">
        <f>=HYPERLINK("https://docs.github.com/copilot", "https://docs.github.com/copilot")</f>
        <v>https://docs.github.com/copilot</v>
      </c>
      <c r="D14" t="inlineStr">
        <is>
          <t>【技术-应用】AI辅助开发(架构设计,  编码与代码审查等)</t>
        </is>
      </c>
      <c r="E14" t="inlineStr">
        <is>
          <t>⭐⭐⭐</t>
        </is>
      </c>
      <c r="F14" t="inlineStr">
        <is>
          <t>来自AI-Native能力模型_学习进阶路径与参考资料库的官方推荐</t>
        </is>
      </c>
      <c r="G14"/>
    </row>
    <row r="15" ht="25.5" customHeight="1">
      <c r="A15" t="inlineStr">
        <is>
          <t>Anthropic Claude Code官方文档</t>
        </is>
      </c>
      <c r="B15" t="inlineStr">
        <is>
          <t>在线课程/官方文档</t>
        </is>
      </c>
      <c r="C15" s="2" t="str">
        <f>=HYPERLINK("https://docs.claude.com/en/docs/claude-code", "https://docs.claude.com/en/docs/claude-code")</f>
        <v>https://docs.claude.com/en/docs/claude-code</v>
      </c>
      <c r="D15" t="inlineStr">
        <is>
          <t>【技术-应用】AI辅助开发(架构设计,  编码与代码审查等)</t>
        </is>
      </c>
      <c r="E15" t="inlineStr">
        <is>
          <t>⭐⭐⭐</t>
        </is>
      </c>
      <c r="F15" t="inlineStr">
        <is>
          <t>来自AI-Native能力模型_学习进阶路径与参考资料库的官方推荐</t>
        </is>
      </c>
      <c r="G15"/>
    </row>
    <row r="16" ht="25.5" customHeight="1">
      <c r="A16" t="inlineStr">
        <is>
          <t>GitHub仓库 chiphuyen/aie-book（书籍配套资源）</t>
        </is>
      </c>
      <c r="B16" t="inlineStr">
        <is>
          <t>文章/其他资料</t>
        </is>
      </c>
      <c r="C16" s="2" t="str">
        <f>=HYPERLINK("https://github.com/chiphuyen/aie-book", "https://github.com/chiphuyen/aie-book")</f>
        <v>https://github.com/chiphuyen/aie-book</v>
      </c>
      <c r="D16" t="inlineStr">
        <is>
          <t>【技术-应用】AI辅助开发(架构设计,  编码与代码审查等)</t>
        </is>
      </c>
      <c r="E16" t="inlineStr">
        <is>
          <t>⭐⭐⭐</t>
        </is>
      </c>
      <c r="F16" t="inlineStr">
        <is>
          <t>来自AI-Native能力模型_学习进阶路径与参考资料库的官方推荐</t>
        </is>
      </c>
      <c r="G16"/>
    </row>
    <row r="17" ht="25.5" customHeight="1">
      <c r="A17" t="inlineStr">
        <is>
          <t>《AI Engineering: Building Applications with Foundation Models》</t>
        </is>
      </c>
      <c r="B17" t="inlineStr">
        <is>
          <t>书籍</t>
        </is>
      </c>
      <c r="C17" s="2"/>
      <c r="D17" t="inlineStr">
        <is>
          <t>【技术-应用】LLM应用技术选型与架构设计</t>
        </is>
      </c>
      <c r="E17" t="inlineStr">
        <is>
          <t>⭐⭐⭐</t>
        </is>
      </c>
      <c r="F17" t="inlineStr">
        <is>
          <t>来自AI-Native能力模型_学习进阶路径与参考资料库的官方推荐</t>
        </is>
      </c>
      <c r="G17"/>
    </row>
    <row r="18" ht="25.5" customHeight="1">
      <c r="A18" t="inlineStr">
        <is>
          <t>《Designing Large Language Model Applications》</t>
        </is>
      </c>
      <c r="B18" t="inlineStr">
        <is>
          <t>书籍</t>
        </is>
      </c>
      <c r="C18" s="2"/>
      <c r="D18" t="inlineStr">
        <is>
          <t>【技术-应用】LLM应用技术选型与架构设计</t>
        </is>
      </c>
      <c r="E18" t="inlineStr">
        <is>
          <t>⭐⭐⭐</t>
        </is>
      </c>
      <c r="F18" t="inlineStr">
        <is>
          <t>来自AI-Native能力模型_学习进阶路径与参考资料库的官方推荐</t>
        </is>
      </c>
      <c r="G18"/>
    </row>
    <row r="19" ht="25.5" customHeight="1">
      <c r="A19" t="inlineStr">
        <is>
          <t>O'Reilly图书页</t>
        </is>
      </c>
      <c r="B19" t="inlineStr">
        <is>
          <t>在线课程/官方文档</t>
        </is>
      </c>
      <c r="C19" s="2" t="str">
        <f>=HYPERLINK("https://www.oreilly.com/library/view/ai-engineering/9781098166298/", "https://www.oreilly.com/library/view/ai-engineering/9781098166298/")</f>
        <v>https://www.oreilly.com/library/view/ai-engineering/9781098166298/</v>
      </c>
      <c r="D19" t="inlineStr">
        <is>
          <t>【技术-应用】LLM应用技术选型与架构设计</t>
        </is>
      </c>
      <c r="E19" t="inlineStr">
        <is>
          <t>⭐⭐⭐</t>
        </is>
      </c>
      <c r="F19" t="inlineStr">
        <is>
          <t>来自AI-Native能力模型_学习进阶路径与参考资料库的官方推荐</t>
        </is>
      </c>
      <c r="G19"/>
    </row>
    <row r="20" ht="25.5" customHeight="1">
      <c r="A20" t="inlineStr">
        <is>
          <t>https://www.oreilly.com/library/view/designing-large-language/9781098150495/</t>
        </is>
      </c>
      <c r="B20" t="inlineStr">
        <is>
          <t>在线课程/官方文档</t>
        </is>
      </c>
      <c r="C20" s="2" t="str">
        <f>=HYPERLINK("https://www.oreilly.com/library/view/designing-large-language/9781098150495/", "https://www.oreilly.com/library/view/designing-large-language/9781098150495/")</f>
        <v>https://www.oreilly.com/library/view/designing-large-language/9781098150495/</v>
      </c>
      <c r="D20" t="inlineStr">
        <is>
          <t>【技术-应用】LLM应用技术选型与架构设计</t>
        </is>
      </c>
      <c r="E20" t="inlineStr">
        <is>
          <t>⭐⭐⭐</t>
        </is>
      </c>
      <c r="F20" t="inlineStr">
        <is>
          <t>来自AI-Native能力模型_学习进阶路径与参考资料库的官方推荐</t>
        </is>
      </c>
      <c r="G20"/>
    </row>
    <row r="21" ht="25.5" customHeight="1">
      <c r="A21" t="inlineStr">
        <is>
          <t>作者播客访谈 The Pragmatic Engineer《AI Engineering with Chip Huyen》</t>
        </is>
      </c>
      <c r="B21" t="inlineStr">
        <is>
          <t>文章/其他资料</t>
        </is>
      </c>
      <c r="C21" s="2" t="str">
        <f>=HYPERLINK("https://newsletter.pragmaticengineer.com/p/ai-engineering-with-chip-huyen", "https://newsletter.pragmaticengineer.com/p/ai-engineering-with-chip-huyen")</f>
        <v>https://newsletter.pragmaticengineer.com/p/ai-engineering-with-chip-huyen</v>
      </c>
      <c r="D21" t="inlineStr">
        <is>
          <t>【技术-应用】LLM应用技术选型与架构设计</t>
        </is>
      </c>
      <c r="E21" t="inlineStr">
        <is>
          <t>⭐⭐⭐</t>
        </is>
      </c>
      <c r="F21" t="inlineStr">
        <is>
          <t>来自AI-Native能力模型_学习进阶路径与参考资料库的官方推荐</t>
        </is>
      </c>
      <c r="G21"/>
    </row>
    <row r="22" ht="25.5" customHeight="1">
      <c r="A22" t="inlineStr">
        <is>
          <t>《AI Agents in Action, Second Edition》</t>
        </is>
      </c>
      <c r="B22" t="inlineStr">
        <is>
          <t>书籍</t>
        </is>
      </c>
      <c r="C22" s="2"/>
      <c r="D22" t="inlineStr">
        <is>
          <t>【技术-应用】Agent系统设计与多智能体架构</t>
        </is>
      </c>
      <c r="E22" t="inlineStr">
        <is>
          <t>⭐⭐⭐</t>
        </is>
      </c>
      <c r="F22" t="inlineStr">
        <is>
          <t>来自AI-Native能力模型_学习进阶路径与参考资料库的官方推荐</t>
        </is>
      </c>
      <c r="G22"/>
    </row>
    <row r="23" ht="25.5" customHeight="1">
      <c r="A23" t="inlineStr">
        <is>
          <t>Manning图书页</t>
        </is>
      </c>
      <c r="B23" t="inlineStr">
        <is>
          <t>在线课程/官方文档</t>
        </is>
      </c>
      <c r="C23" s="2" t="str">
        <f>=HYPERLINK("https://www.manning.com/books/ai-agents-in-action-second-edition", "https://www.manning.com/books/ai-agents-in-action-second-edition")</f>
        <v>https://www.manning.com/books/ai-agents-in-action-second-edition</v>
      </c>
      <c r="D23" t="inlineStr">
        <is>
          <t>【技术-应用】Agent系统设计与多智能体架构</t>
        </is>
      </c>
      <c r="E23" t="inlineStr">
        <is>
          <t>⭐⭐⭐</t>
        </is>
      </c>
      <c r="F23" t="inlineStr">
        <is>
          <t>来自AI-Native能力模型_学习进阶路径与参考资料库的官方推荐</t>
        </is>
      </c>
      <c r="G23"/>
    </row>
    <row r="24" ht="25.5" customHeight="1">
      <c r="A24" t="inlineStr">
        <is>
          <t>Anthropic Model Context Protocol官方文档</t>
        </is>
      </c>
      <c r="B24" t="inlineStr">
        <is>
          <t>在线课程/官方文档</t>
        </is>
      </c>
      <c r="C24" s="2" t="str">
        <f>=HYPERLINK("https://modelcontextprotocol.io", "https://modelcontextprotocol.io")</f>
        <v>https://modelcontextprotocol.io</v>
      </c>
      <c r="D24" t="inlineStr">
        <is>
          <t>【技术-应用】Agent系统设计与多智能体架构</t>
        </is>
      </c>
      <c r="E24" t="inlineStr">
        <is>
          <t>⭐⭐⭐</t>
        </is>
      </c>
      <c r="F24" t="inlineStr">
        <is>
          <t>来自AI-Native能力模型_学习进阶路径与参考资料库的官方推荐</t>
        </is>
      </c>
      <c r="G24"/>
    </row>
    <row r="25" ht="25.5" customHeight="1">
      <c r="A25" t="inlineStr">
        <is>
          <t>Manning liveBook试读</t>
        </is>
      </c>
      <c r="B25" t="inlineStr">
        <is>
          <t>文章/其他资料</t>
        </is>
      </c>
      <c r="C25" s="2" t="str">
        <f>=HYPERLINK("https://livebook.manning.com/book/ai-agents-in-action-second-edition", "https://livebook.manning.com/book/ai-agents-in-action-second-edition")</f>
        <v>https://livebook.manning.com/book/ai-agents-in-action-second-edition</v>
      </c>
      <c r="D25" t="inlineStr">
        <is>
          <t>【技术-应用】Agent系统设计与多智能体架构</t>
        </is>
      </c>
      <c r="E25" t="inlineStr">
        <is>
          <t>⭐⭐⭐</t>
        </is>
      </c>
      <c r="F25" t="inlineStr">
        <is>
          <t>来自AI-Native能力模型_学习进阶路径与参考资料库的官方推荐</t>
        </is>
      </c>
      <c r="G25"/>
    </row>
    <row r="26" ht="25.5" customHeight="1">
      <c r="A26" t="inlineStr">
        <is>
          <t>《Evals for AI Engineers》</t>
        </is>
      </c>
      <c r="B26" t="inlineStr">
        <is>
          <t>书籍</t>
        </is>
      </c>
      <c r="C26" s="2"/>
      <c r="D26" t="inlineStr">
        <is>
          <t>【技术-应用】AI系统与Agent评估监测</t>
        </is>
      </c>
      <c r="E26" t="inlineStr">
        <is>
          <t>⭐⭐⭐</t>
        </is>
      </c>
      <c r="F26" t="inlineStr">
        <is>
          <t>来自AI-Native能力模型_学习进阶路径与参考资料库的官方推荐</t>
        </is>
      </c>
      <c r="G26"/>
    </row>
    <row r="27" ht="25.5" customHeight="1">
      <c r="A27" t="inlineStr">
        <is>
          <t>Maven课程《AI Evals For Engineers &amp; PMs》</t>
        </is>
      </c>
      <c r="B27" t="inlineStr">
        <is>
          <t>在线课程/官方文档</t>
        </is>
      </c>
      <c r="C27" s="2" t="str">
        <f>=HYPERLINK("https://maven.com/parlance-labs/evals", "https://maven.com/parlance-labs/evals")</f>
        <v>https://maven.com/parlance-labs/evals</v>
      </c>
      <c r="D27" t="inlineStr">
        <is>
          <t>【技术-应用】AI系统与Agent评估监测</t>
        </is>
      </c>
      <c r="E27" t="inlineStr">
        <is>
          <t>⭐⭐⭐</t>
        </is>
      </c>
      <c r="F27" t="inlineStr">
        <is>
          <t>来自AI-Native能力模型_学习进阶路径与参考资料库的官方推荐</t>
        </is>
      </c>
      <c r="G27"/>
    </row>
    <row r="28" ht="25.5" customHeight="1">
      <c r="A28" t="inlineStr">
        <is>
          <t>DeepLearning.AI《Automated Testing for LLMOps》</t>
        </is>
      </c>
      <c r="B28" t="inlineStr">
        <is>
          <t>在线课程/官方文档</t>
        </is>
      </c>
      <c r="C28" s="2" t="str">
        <f>=HYPERLINK("https://www.deeplearning.ai/short-courses/automated-testing-llmops", "https://www.deeplearning.ai/short-courses/automated-testing-llmops")</f>
        <v>https://www.deeplearning.ai/short-courses/automated-testing-llmops</v>
      </c>
      <c r="D28" t="inlineStr">
        <is>
          <t>【技术-应用】AI系统与Agent评估监测</t>
        </is>
      </c>
      <c r="E28" t="inlineStr">
        <is>
          <t>⭐⭐⭐</t>
        </is>
      </c>
      <c r="F28" t="inlineStr">
        <is>
          <t>来自AI-Native能力模型_学习进阶路径与参考资料库的官方推荐</t>
        </is>
      </c>
      <c r="G28"/>
    </row>
    <row r="29" ht="25.5" customHeight="1">
      <c r="A29" t="inlineStr">
        <is>
          <t>Hamel Husain个人博客/Substack</t>
        </is>
      </c>
      <c r="B29" t="inlineStr">
        <is>
          <t>文章/其他资料</t>
        </is>
      </c>
      <c r="C29" s="2" t="str">
        <f>=HYPERLINK("https://hamelhusain.substack.com/", "https://hamelhusain.substack.com/")</f>
        <v>https://hamelhusain.substack.com/</v>
      </c>
      <c r="D29" t="inlineStr">
        <is>
          <t>【技术-应用】AI系统与Agent评估监测</t>
        </is>
      </c>
      <c r="E29" t="inlineStr">
        <is>
          <t>⭐⭐⭐</t>
        </is>
      </c>
      <c r="F29" t="inlineStr">
        <is>
          <t>来自AI-Native能力模型_学习进阶路径与参考资料库的官方推荐</t>
        </is>
      </c>
      <c r="G29"/>
    </row>
    <row r="30" ht="25.5" customHeight="1">
      <c r="A30" t="inlineStr">
        <is>
          <t>《A Simple Guide to Retrieval Augmented Generation》</t>
        </is>
      </c>
      <c r="B30" t="inlineStr">
        <is>
          <t>书籍</t>
        </is>
      </c>
      <c r="C30" s="2"/>
      <c r="D30" t="inlineStr">
        <is>
          <t>【技术-数据】语义检索系统设计与RAG</t>
        </is>
      </c>
      <c r="E30" t="inlineStr">
        <is>
          <t>⭐⭐⭐</t>
        </is>
      </c>
      <c r="F30" t="inlineStr">
        <is>
          <t>来自AI-Native能力模型_学习进阶路径与参考资料库的官方推荐</t>
        </is>
      </c>
      <c r="G30"/>
    </row>
    <row r="31" ht="25.5" customHeight="1">
      <c r="A31" t="inlineStr">
        <is>
          <t>Manning图书页</t>
        </is>
      </c>
      <c r="B31" t="inlineStr">
        <is>
          <t>在线课程/官方文档</t>
        </is>
      </c>
      <c r="C31" s="2" t="str">
        <f>=HYPERLINK("https://www.amazon.com/Simple-Guide-Retrieval-Augmented-Generation/dp/1633435857", "https://www.amazon.com/Simple-Guide-Retrieval-Augmented-Generation/dp/1633435857")</f>
        <v>https://www.amazon.com/Simple-Guide-Retrieval-Augmented-Generation/dp/1633435857</v>
      </c>
      <c r="D31" t="inlineStr">
        <is>
          <t>【技术-数据】语义检索系统设计与RAG</t>
        </is>
      </c>
      <c r="E31" t="inlineStr">
        <is>
          <t>⭐⭐⭐</t>
        </is>
      </c>
      <c r="F31" t="inlineStr">
        <is>
          <t>来自AI-Native能力模型_学习进阶路径与参考资料库的官方推荐</t>
        </is>
      </c>
      <c r="G31"/>
    </row>
    <row r="32" ht="25.5" customHeight="1">
      <c r="A32" t="inlineStr">
        <is>
          <t>DeepLearning.AI《Building Applications with Vector Databases》(Pinecone) 见</t>
        </is>
      </c>
      <c r="B32" t="inlineStr">
        <is>
          <t>在线课程/官方文档</t>
        </is>
      </c>
      <c r="C32" s="2" t="str">
        <f>=HYPERLINK("https://www.deeplearning.ai/courses", "https://www.deeplearning.ai/courses")</f>
        <v>https://www.deeplearning.ai/courses</v>
      </c>
      <c r="D32" t="inlineStr">
        <is>
          <t>【技术-数据】语义检索系统设计与RAG</t>
        </is>
      </c>
      <c r="E32" t="inlineStr">
        <is>
          <t>⭐⭐⭐</t>
        </is>
      </c>
      <c r="F32" t="inlineStr">
        <is>
          <t>来自AI-Native能力模型_学习进阶路径与参考资料库的官方推荐</t>
        </is>
      </c>
      <c r="G32"/>
    </row>
    <row r="33" ht="25.5" customHeight="1">
      <c r="A33" t="inlineStr">
        <is>
          <t>《Designing Data-Intensive Applications》</t>
        </is>
      </c>
      <c r="B33" t="inlineStr">
        <is>
          <t>书籍</t>
        </is>
      </c>
      <c r="C33" s="2"/>
      <c r="D33" t="inlineStr">
        <is>
          <t>【技术-数据】实时数据流与AI集成</t>
        </is>
      </c>
      <c r="E33" t="inlineStr">
        <is>
          <t>⭐⭐⭐</t>
        </is>
      </c>
      <c r="F33" t="inlineStr">
        <is>
          <t>来自AI-Native能力模型_学习进阶路径与参考资料库的官方推荐</t>
        </is>
      </c>
      <c r="G33"/>
    </row>
    <row r="34" ht="25.5" customHeight="1">
      <c r="A34" t="inlineStr">
        <is>
          <t>Apache Kafka官方文档</t>
        </is>
      </c>
      <c r="B34" t="inlineStr">
        <is>
          <t>在线课程/官方文档</t>
        </is>
      </c>
      <c r="C34" s="2" t="str">
        <f>=HYPERLINK("https://kafka.apache.org/documentation/", "https://kafka.apache.org/documentation/")</f>
        <v>https://kafka.apache.org/documentation/</v>
      </c>
      <c r="D34" t="inlineStr">
        <is>
          <t>【技术-数据】实时数据流与AI集成</t>
        </is>
      </c>
      <c r="E34" t="inlineStr">
        <is>
          <t>⭐⭐⭐</t>
        </is>
      </c>
      <c r="F34" t="inlineStr">
        <is>
          <t>来自AI-Native能力模型_学习进阶路径与参考资料库的官方推荐</t>
        </is>
      </c>
      <c r="G34"/>
    </row>
    <row r="35" ht="25.5" customHeight="1">
      <c r="A35" t="inlineStr">
        <is>
          <t>Apache Flink官方文档</t>
        </is>
      </c>
      <c r="B35" t="inlineStr">
        <is>
          <t>在线课程/官方文档</t>
        </is>
      </c>
      <c r="C35" s="2" t="str">
        <f>=HYPERLINK("https://nightlies.apache.org/flink/flink-docs-stable/", "https://nightlies.apache.org/flink/flink-docs-stable/")</f>
        <v>https://nightlies.apache.org/flink/flink-docs-stable/</v>
      </c>
      <c r="D35" t="inlineStr">
        <is>
          <t>【技术-数据】实时数据流与AI集成</t>
        </is>
      </c>
      <c r="E35" t="inlineStr">
        <is>
          <t>⭐⭐⭐</t>
        </is>
      </c>
      <c r="F35" t="inlineStr">
        <is>
          <t>来自AI-Native能力模型_学习进阶路径与参考资料库的官方推荐</t>
        </is>
      </c>
      <c r="G35"/>
    </row>
    <row r="36" ht="25.5" customHeight="1">
      <c r="A36" t="inlineStr">
        <is>
          <t>《DAMA-DMBOK: Data Management Body of Knowledge》</t>
        </is>
      </c>
      <c r="B36" t="inlineStr">
        <is>
          <t>书籍</t>
        </is>
      </c>
      <c r="C36" s="2"/>
      <c r="D36" t="inlineStr">
        <is>
          <t>【技术-数据】面向AI的数据治理</t>
        </is>
      </c>
      <c r="E36" t="inlineStr">
        <is>
          <t>⭐⭐⭐</t>
        </is>
      </c>
      <c r="F36" t="inlineStr">
        <is>
          <t>来自AI-Native能力模型_学习进阶路径与参考资料库的官方推荐</t>
        </is>
      </c>
      <c r="G36"/>
    </row>
    <row r="37" ht="25.5" customHeight="1">
      <c r="A37" t="inlineStr">
        <is>
          <t>Google Cloud Skills Boost《Introduction to Responsible AI》(免费)</t>
        </is>
      </c>
      <c r="B37" t="inlineStr">
        <is>
          <t>在线课程/官方文档</t>
        </is>
      </c>
      <c r="C37" s="2" t="str">
        <f>=HYPERLINK("https://www.cloudskillsboost.google", "https://www.cloudskillsboost.google")</f>
        <v>https://www.cloudskillsboost.google</v>
      </c>
      <c r="D37" t="inlineStr">
        <is>
          <t>【技术-数据】面向AI的数据治理</t>
        </is>
      </c>
      <c r="E37" t="inlineStr">
        <is>
          <t>⭐⭐⭐</t>
        </is>
      </c>
      <c r="F37" t="inlineStr">
        <is>
          <t>来自AI-Native能力模型_学习进阶路径与参考资料库的官方推荐</t>
        </is>
      </c>
      <c r="G37"/>
    </row>
    <row r="38" ht="25.5" customHeight="1">
      <c r="A38" t="inlineStr">
        <is>
          <t>Neo4j GraphAcademy（免费课程）</t>
        </is>
      </c>
      <c r="B38" t="inlineStr">
        <is>
          <t>在线课程/官方文档</t>
        </is>
      </c>
      <c r="C38" s="2" t="str">
        <f>=HYPERLINK("https://graphacademy.neo4j.com", "https://graphacademy.neo4j.com")</f>
        <v>https://graphacademy.neo4j.com</v>
      </c>
      <c r="D38" t="inlineStr">
        <is>
          <t>【技术-数据】业务知识建模与知识图谱构建</t>
        </is>
      </c>
      <c r="E38" t="inlineStr">
        <is>
          <t>⭐⭐⭐</t>
        </is>
      </c>
      <c r="F38" t="inlineStr">
        <is>
          <t>来自AI-Native能力模型_学习进阶路径与参考资料库的官方推荐</t>
        </is>
      </c>
      <c r="G38"/>
    </row>
    <row r="39" ht="25.5" customHeight="1">
      <c r="A39" t="inlineStr">
        <is>
          <t>《AI Engineering: Building Applications with Foundation Models》</t>
        </is>
      </c>
      <c r="B39" t="inlineStr">
        <is>
          <t>书籍</t>
        </is>
      </c>
      <c r="C39" s="2"/>
      <c r="D39" t="inlineStr">
        <is>
          <t>【技术-平台】LLMOps平台设计与模型全生命周期管理</t>
        </is>
      </c>
      <c r="E39" t="inlineStr">
        <is>
          <t>⭐⭐⭐</t>
        </is>
      </c>
      <c r="F39" t="inlineStr">
        <is>
          <t>来自AI-Native能力模型_学习进阶路径与参考资料库的官方推荐</t>
        </is>
      </c>
      <c r="G39"/>
    </row>
    <row r="40" ht="25.5" customHeight="1">
      <c r="A40" t="inlineStr">
        <is>
          <t>DeepLearning.AI × Google Cloud《LLMOps》</t>
        </is>
      </c>
      <c r="B40" t="inlineStr">
        <is>
          <t>在线课程/官方文档</t>
        </is>
      </c>
      <c r="C40" s="2" t="str">
        <f>=HYPERLINK("https://www.deeplearning.ai/short-courses/llmops/", "https://www.deeplearning.ai/short-courses/llmops/")</f>
        <v>https://www.deeplearning.ai/short-courses/llmops/</v>
      </c>
      <c r="D40" t="inlineStr">
        <is>
          <t>【技术-平台】LLMOps平台设计与模型全生命周期管理</t>
        </is>
      </c>
      <c r="E40" t="inlineStr">
        <is>
          <t>⭐⭐⭐</t>
        </is>
      </c>
      <c r="F40" t="inlineStr">
        <is>
          <t>来自AI-Native能力模型_学习进阶路径与参考资料库的官方推荐</t>
        </is>
      </c>
      <c r="G40"/>
    </row>
    <row r="41" ht="25.5" customHeight="1">
      <c r="A41" t="inlineStr">
        <is>
          <t>DeepLearning.AI《Automated Testing for LLMOps》</t>
        </is>
      </c>
      <c r="B41" t="inlineStr">
        <is>
          <t>文章/其他资料</t>
        </is>
      </c>
      <c r="C41" s="2" t="str">
        <f>=HYPERLINK("https://learn.deeplearning.ai/courses/automated-testing-llmops/information", "https://learn.deeplearning.ai/courses/automated-testing-llmops/information")</f>
        <v>https://learn.deeplearning.ai/courses/automated-testing-llmops/information</v>
      </c>
      <c r="D41" t="inlineStr">
        <is>
          <t>【技术-平台】LLMOps平台设计与模型全生命周期管理</t>
        </is>
      </c>
      <c r="E41" t="inlineStr">
        <is>
          <t>⭐⭐⭐</t>
        </is>
      </c>
      <c r="F41" t="inlineStr">
        <is>
          <t>来自AI-Native能力模型_学习进阶路径与参考资料库的官方推荐</t>
        </is>
      </c>
      <c r="G41"/>
    </row>
    <row r="42" ht="25.5" customHeight="1">
      <c r="A42" t="inlineStr">
        <is>
          <t>《AI Agents in Action, Second Edition》</t>
        </is>
      </c>
      <c r="B42" t="inlineStr">
        <is>
          <t>书籍</t>
        </is>
      </c>
      <c r="C42" s="2"/>
      <c r="D42" t="inlineStr">
        <is>
          <t>【技术-平台】AgentOS平台搭建与Agent运行时</t>
        </is>
      </c>
      <c r="E42" t="inlineStr">
        <is>
          <t>⭐⭐⭐</t>
        </is>
      </c>
      <c r="F42" t="inlineStr">
        <is>
          <t>来自AI-Native能力模型_学习进阶路径与参考资料库的官方推荐</t>
        </is>
      </c>
      <c r="G42"/>
    </row>
    <row r="43" ht="25.5" customHeight="1">
      <c r="A43" t="inlineStr">
        <is>
          <t>Model Context Protocol官方文档</t>
        </is>
      </c>
      <c r="B43" t="inlineStr">
        <is>
          <t>在线课程/官方文档</t>
        </is>
      </c>
      <c r="C43" s="2" t="str">
        <f>=HYPERLINK("https://modelcontextprotocol.io", "https://modelcontextprotocol.io")</f>
        <v>https://modelcontextprotocol.io</v>
      </c>
      <c r="D43" t="inlineStr">
        <is>
          <t>【技术-平台】AgentOS平台搭建与Agent运行时</t>
        </is>
      </c>
      <c r="E43" t="inlineStr">
        <is>
          <t>⭐⭐⭐</t>
        </is>
      </c>
      <c r="F43" t="inlineStr">
        <is>
          <t>来自AI-Native能力模型_学习进阶路径与参考资料库的官方推荐</t>
        </is>
      </c>
      <c r="G43"/>
    </row>
    <row r="44" ht="25.5" customHeight="1">
      <c r="A44" t="inlineStr">
        <is>
          <t>LangGraph官方文档</t>
        </is>
      </c>
      <c r="B44" t="inlineStr">
        <is>
          <t>在线课程/官方文档</t>
        </is>
      </c>
      <c r="C44" s="2" t="str">
        <f>=HYPERLINK("https://langchain-ai.github.io/langgraph/", "https://langchain-ai.github.io/langgraph/")</f>
        <v>https://langchain-ai.github.io/langgraph/</v>
      </c>
      <c r="D44" t="inlineStr">
        <is>
          <t>【技术-平台】AgentOS平台搭建与Agent运行时</t>
        </is>
      </c>
      <c r="E44" t="inlineStr">
        <is>
          <t>⭐⭐⭐</t>
        </is>
      </c>
      <c r="F44" t="inlineStr">
        <is>
          <t>来自AI-Native能力模型_学习进阶路径与参考资料库的官方推荐</t>
        </is>
      </c>
      <c r="G44"/>
    </row>
    <row r="45" ht="25.5" customHeight="1">
      <c r="A45" t="inlineStr">
        <is>
          <t>《AI Engineering: Building Applications with Foundation Models》</t>
        </is>
      </c>
      <c r="B45" t="inlineStr">
        <is>
          <t>书籍</t>
        </is>
      </c>
      <c r="C45" s="2"/>
      <c r="D45" t="inlineStr">
        <is>
          <t>【技术-平台】模型推理优化与加速（量化/推理服务）</t>
        </is>
      </c>
      <c r="E45" t="inlineStr">
        <is>
          <t>⭐⭐⭐</t>
        </is>
      </c>
      <c r="F45" t="inlineStr">
        <is>
          <t>来自AI-Native能力模型_学习进阶路径与参考资料库的官方推荐</t>
        </is>
      </c>
      <c r="G45"/>
    </row>
    <row r="46" ht="25.5" customHeight="1">
      <c r="A46" t="inlineStr">
        <is>
          <t>vLLM官方文档</t>
        </is>
      </c>
      <c r="B46" t="inlineStr">
        <is>
          <t>在线课程/官方文档</t>
        </is>
      </c>
      <c r="C46" s="2" t="str">
        <f>=HYPERLINK("https://docs.vllm.ai", "https://docs.vllm.ai")</f>
        <v>https://docs.vllm.ai</v>
      </c>
      <c r="D46" t="inlineStr">
        <is>
          <t>【技术-平台】模型推理优化与加速（量化/推理服务）</t>
        </is>
      </c>
      <c r="E46" t="inlineStr">
        <is>
          <t>⭐⭐⭐</t>
        </is>
      </c>
      <c r="F46" t="inlineStr">
        <is>
          <t>来自AI-Native能力模型_学习进阶路径与参考资料库的官方推荐</t>
        </is>
      </c>
      <c r="G46"/>
    </row>
    <row r="47" ht="25.5" customHeight="1">
      <c r="A47" t="inlineStr">
        <is>
          <t>《Site Reliability Engineering》</t>
        </is>
      </c>
      <c r="B47" t="inlineStr">
        <is>
          <t>书籍</t>
        </is>
      </c>
      <c r="C47" s="2"/>
      <c r="D47" t="inlineStr">
        <is>
          <t>【技术-平台】AI基础设施运维与可观测性（SRE for AI）</t>
        </is>
      </c>
      <c r="E47" t="inlineStr">
        <is>
          <t>⭐⭐⭐</t>
        </is>
      </c>
      <c r="F47" t="inlineStr">
        <is>
          <t>来自AI-Native能力模型_学习进阶路径与参考资料库的官方推荐</t>
        </is>
      </c>
      <c r="G47"/>
    </row>
    <row r="48" ht="25.5" customHeight="1">
      <c r="A48" t="inlineStr">
        <is>
          <t>Google SRE Books官方网站</t>
        </is>
      </c>
      <c r="B48" t="inlineStr">
        <is>
          <t>在线课程/官方文档</t>
        </is>
      </c>
      <c r="C48" s="2" t="str">
        <f>=HYPERLINK("https://sre.google/books/", "https://sre.google/books/")</f>
        <v>https://sre.google/books/</v>
      </c>
      <c r="D48" t="inlineStr">
        <is>
          <t>【技术-平台】AI基础设施运维与可观测性（SRE for AI）</t>
        </is>
      </c>
      <c r="E48" t="inlineStr">
        <is>
          <t>⭐⭐⭐</t>
        </is>
      </c>
      <c r="F48" t="inlineStr">
        <is>
          <t>来自AI-Native能力模型_学习进阶路径与参考资料库的官方推荐</t>
        </is>
      </c>
      <c r="G48"/>
    </row>
    <row r="49" ht="25.5" customHeight="1">
      <c r="A49" t="inlineStr">
        <is>
          <t>《AI Risk Management Framework》</t>
        </is>
      </c>
      <c r="B49" t="inlineStr">
        <is>
          <t>书籍</t>
        </is>
      </c>
      <c r="C49" s="2"/>
      <c r="D49" t="inlineStr">
        <is>
          <t>【技术-平台】AI安全治理与AI Governance</t>
        </is>
      </c>
      <c r="E49" t="inlineStr">
        <is>
          <t>⭐⭐⭐</t>
        </is>
      </c>
      <c r="F49" t="inlineStr">
        <is>
          <t>来自AI-Native能力模型_学习进阶路径与参考资料库的官方推荐</t>
        </is>
      </c>
      <c r="G49"/>
    </row>
    <row r="50" ht="25.5" customHeight="1">
      <c r="A50" t="inlineStr">
        <is>
          <t>NIST AI RMF官网</t>
        </is>
      </c>
      <c r="B50" t="inlineStr">
        <is>
          <t>在线课程/官方文档</t>
        </is>
      </c>
      <c r="C50" s="2" t="str">
        <f>=HYPERLINK("https://www.nist.gov/itl/ai-risk-management-framework", "https://www.nist.gov/itl/ai-risk-management-framework")</f>
        <v>https://www.nist.gov/itl/ai-risk-management-framework</v>
      </c>
      <c r="D50" t="inlineStr">
        <is>
          <t>【技术-平台】AI安全治理与AI Governance</t>
        </is>
      </c>
      <c r="E50" t="inlineStr">
        <is>
          <t>⭐⭐⭐</t>
        </is>
      </c>
      <c r="F50" t="inlineStr">
        <is>
          <t>来自AI-Native能力模型_学习进阶路径与参考资料库的官方推荐</t>
        </is>
      </c>
      <c r="G50"/>
    </row>
    <row r="51" ht="25.5" customHeight="1">
      <c r="A51" t="inlineStr">
        <is>
          <t>Anthropic Responsible Scaling Policy</t>
        </is>
      </c>
      <c r="B51" t="inlineStr">
        <is>
          <t>在线课程/官方文档</t>
        </is>
      </c>
      <c r="C51" s="2" t="str">
        <f>=HYPERLINK("https://www.anthropic.com/rsp", "https://www.anthropic.com/rsp")</f>
        <v>https://www.anthropic.com/rsp</v>
      </c>
      <c r="D51" t="inlineStr">
        <is>
          <t>【技术-平台】AI安全治理与AI Governance</t>
        </is>
      </c>
      <c r="E51" t="inlineStr">
        <is>
          <t>⭐⭐⭐</t>
        </is>
      </c>
      <c r="F51" t="inlineStr">
        <is>
          <t>来自AI-Native能力模型_学习进阶路径与参考资料库的官方推荐</t>
        </is>
      </c>
      <c r="G51"/>
    </row>
    <row r="52" ht="25.5" customHeight="1">
      <c r="A52" t="inlineStr">
        <is>
          <t>《AI Product Management》</t>
        </is>
      </c>
      <c r="B52" t="inlineStr">
        <is>
          <t>书籍</t>
        </is>
      </c>
      <c r="C52" s="2"/>
      <c r="D52" t="inlineStr">
        <is>
          <t>【产品】AI产品需求分析与场景探索</t>
        </is>
      </c>
      <c r="E52" t="inlineStr">
        <is>
          <t>⭐⭐⭐</t>
        </is>
      </c>
      <c r="F52" t="inlineStr">
        <is>
          <t>来自AI-Native能力模型_学习进阶路径与参考资料库的官方推荐</t>
        </is>
      </c>
      <c r="G52"/>
    </row>
    <row r="53" ht="25.5" customHeight="1">
      <c r="A53" t="inlineStr">
        <is>
          <t>O'Reilly图书页</t>
        </is>
      </c>
      <c r="B53" t="inlineStr">
        <is>
          <t>在线课程/官方文档</t>
        </is>
      </c>
      <c r="C53" s="2" t="str">
        <f>=HYPERLINK("https://www.oreilly.com/library/view/ai-product-management/0642572251048/", "https://www.oreilly.com/library/view/ai-product-management/0642572251048/")</f>
        <v>https://www.oreilly.com/library/view/ai-product-management/0642572251048/</v>
      </c>
      <c r="D53" t="inlineStr">
        <is>
          <t>【产品】AI产品需求分析与场景探索</t>
        </is>
      </c>
      <c r="E53" t="inlineStr">
        <is>
          <t>⭐⭐⭐</t>
        </is>
      </c>
      <c r="F53" t="inlineStr">
        <is>
          <t>来自AI-Native能力模型_学习进阶路径与参考资料库的官方推荐</t>
        </is>
      </c>
      <c r="G53"/>
    </row>
    <row r="54" ht="25.5" customHeight="1">
      <c r="A54" t="inlineStr">
        <is>
          <t>Duke University《AI Product Management》Specialization(Coursera)</t>
        </is>
      </c>
      <c r="B54" t="inlineStr">
        <is>
          <t>在线课程/官方文档</t>
        </is>
      </c>
      <c r="C54" s="2" t="str">
        <f>=HYPERLINK("https://www.classcentral.com/course/ai-product-management-duke-89505", "https://www.classcentral.com/course/ai-product-management-duke-89505")</f>
        <v>https://www.classcentral.com/course/ai-product-management-duke-89505</v>
      </c>
      <c r="D54" t="inlineStr">
        <is>
          <t>【产品】AI产品需求分析与场景探索</t>
        </is>
      </c>
      <c r="E54" t="inlineStr">
        <is>
          <t>⭐⭐⭐</t>
        </is>
      </c>
      <c r="F54" t="inlineStr">
        <is>
          <t>来自AI-Native能力模型_学习进阶路径与参考资料库的官方推荐</t>
        </is>
      </c>
      <c r="G54"/>
    </row>
    <row r="55" ht="25.5" customHeight="1">
      <c r="A55" t="inlineStr">
        <is>
          <t>《AI Product Management》</t>
        </is>
      </c>
      <c r="B55" t="inlineStr">
        <is>
          <t>书籍</t>
        </is>
      </c>
      <c r="C55" s="2"/>
      <c r="D55" t="inlineStr">
        <is>
          <t>【产品】AI产品设计与人机协作交互设计</t>
        </is>
      </c>
      <c r="E55" t="inlineStr">
        <is>
          <t>⭐⭐⭐</t>
        </is>
      </c>
      <c r="F55" t="inlineStr">
        <is>
          <t>来自AI-Native能力模型_学习进阶路径与参考资料库的官方推荐</t>
        </is>
      </c>
      <c r="G55"/>
    </row>
    <row r="56" ht="25.5" customHeight="1">
      <c r="A56" t="inlineStr">
        <is>
          <t>Google People + AI Research (PAIR) Guidebook</t>
        </is>
      </c>
      <c r="B56" t="inlineStr">
        <is>
          <t>在线课程/官方文档</t>
        </is>
      </c>
      <c r="C56" s="2" t="str">
        <f>=HYPERLINK("https://pair.withgoogle.com/guidebook", "https://pair.withgoogle.com/guidebook")</f>
        <v>https://pair.withgoogle.com/guidebook</v>
      </c>
      <c r="D56" t="inlineStr">
        <is>
          <t>【产品】AI产品设计与人机协作交互设计</t>
        </is>
      </c>
      <c r="E56" t="inlineStr">
        <is>
          <t>⭐⭐⭐</t>
        </is>
      </c>
      <c r="F56" t="inlineStr">
        <is>
          <t>来自AI-Native能力模型_学习进阶路径与参考资料库的官方推荐</t>
        </is>
      </c>
      <c r="G56"/>
    </row>
    <row r="57" ht="25.5" customHeight="1">
      <c r="A57" t="inlineStr">
        <is>
          <t>《AI Product Management》</t>
        </is>
      </c>
      <c r="B57" t="inlineStr">
        <is>
          <t>书籍</t>
        </is>
      </c>
      <c r="C57" s="2"/>
      <c r="D57" t="inlineStr">
        <is>
          <t>【产品】快速原型验证与Vibe Coding</t>
        </is>
      </c>
      <c r="E57" t="inlineStr">
        <is>
          <t>⭐⭐⭐</t>
        </is>
      </c>
      <c r="F57" t="inlineStr">
        <is>
          <t>来自AI-Native能力模型_学习进阶路径与参考资料库的官方推荐</t>
        </is>
      </c>
      <c r="G57"/>
    </row>
    <row r="58" ht="25.5" customHeight="1">
      <c r="A58" t="inlineStr">
        <is>
          <t>Cursor官方文档</t>
        </is>
      </c>
      <c r="B58" t="inlineStr">
        <is>
          <t>在线课程/官方文档</t>
        </is>
      </c>
      <c r="C58" s="2" t="str">
        <f>=HYPERLINK("https://docs.cursor.com", "https://docs.cursor.com")</f>
        <v>https://docs.cursor.com</v>
      </c>
      <c r="D58" t="inlineStr">
        <is>
          <t>【产品】快速原型验证与Vibe Coding</t>
        </is>
      </c>
      <c r="E58" t="inlineStr">
        <is>
          <t>⭐⭐⭐</t>
        </is>
      </c>
      <c r="F58" t="inlineStr">
        <is>
          <t>来自AI-Native能力模型_学习进阶路径与参考资料库的官方推荐</t>
        </is>
      </c>
      <c r="G58"/>
    </row>
    <row r="59" ht="25.5" customHeight="1">
      <c r="A59" t="inlineStr">
        <is>
          <t>《Evals for AI Engineers》</t>
        </is>
      </c>
      <c r="B59" t="inlineStr">
        <is>
          <t>书籍</t>
        </is>
      </c>
      <c r="C59" s="2"/>
      <c r="D59" t="inlineStr">
        <is>
          <t>【测试】AI辅助测试工程与LLM/Agent测试评估</t>
        </is>
      </c>
      <c r="E59" t="inlineStr">
        <is>
          <t>⭐⭐⭐</t>
        </is>
      </c>
      <c r="F59" t="inlineStr">
        <is>
          <t>来自AI-Native能力模型_学习进阶路径与参考资料库的官方推荐</t>
        </is>
      </c>
      <c r="G59"/>
    </row>
    <row r="60" ht="25.5" customHeight="1">
      <c r="A60" t="inlineStr">
        <is>
          <t>Maven课程《AI Evals For Engineers &amp; PMs》</t>
        </is>
      </c>
      <c r="B60" t="inlineStr">
        <is>
          <t>在线课程/官方文档</t>
        </is>
      </c>
      <c r="C60" s="2" t="str">
        <f>=HYPERLINK("https://maven.com/parlance-labs/evals", "https://maven.com/parlance-labs/evals")</f>
        <v>https://maven.com/parlance-labs/evals</v>
      </c>
      <c r="D60" t="inlineStr">
        <is>
          <t>【测试】AI辅助测试工程与LLM/Agent测试评估</t>
        </is>
      </c>
      <c r="E60" t="inlineStr">
        <is>
          <t>⭐⭐⭐</t>
        </is>
      </c>
      <c r="F60" t="inlineStr">
        <is>
          <t>来自AI-Native能力模型_学习进阶路径与参考资料库的官方推荐</t>
        </is>
      </c>
      <c r="G60"/>
    </row>
    <row r="61" ht="25.5" customHeight="1">
      <c r="A61" t="inlineStr">
        <is>
          <t>Arize AI《The Definitive Guide to LLM Evaluation》</t>
        </is>
      </c>
      <c r="B61" t="inlineStr">
        <is>
          <t>文章/其他资料</t>
        </is>
      </c>
      <c r="C61" s="2" t="str">
        <f>=HYPERLINK("https://arize.com/llm-evaluation/", "https://arize.com/llm-evaluation/")</f>
        <v>https://arize.com/llm-evaluation/</v>
      </c>
      <c r="D61" t="inlineStr">
        <is>
          <t>【测试】AI辅助测试工程与LLM/Agent测试评估</t>
        </is>
      </c>
      <c r="E61" t="inlineStr">
        <is>
          <t>⭐⭐⭐</t>
        </is>
      </c>
      <c r="F61" t="inlineStr">
        <is>
          <t>来自AI-Native能力模型_学习进阶路径与参考资料库的官方推荐</t>
        </is>
      </c>
      <c r="G61"/>
    </row>
    <row r="62" ht="25.5" customHeight="1">
      <c r="A62" t="inlineStr">
        <is>
          <t>《People + AI Guidebook》</t>
        </is>
      </c>
      <c r="B62" t="inlineStr">
        <is>
          <t>书籍</t>
        </is>
      </c>
      <c r="C62" s="2"/>
      <c r="D62" t="inlineStr">
        <is>
          <t>【测试】AI系统专项质量验证（对抗测试/偏见检测/可解释性）</t>
        </is>
      </c>
      <c r="E62" t="inlineStr">
        <is>
          <t>⭐⭐⭐</t>
        </is>
      </c>
      <c r="F62" t="inlineStr">
        <is>
          <t>来自AI-Native能力模型_学习进阶路径与参考资料库的官方推荐</t>
        </is>
      </c>
      <c r="G62"/>
    </row>
    <row r="63" ht="25.5" customHeight="1">
      <c r="A63" t="inlineStr">
        <is>
          <t>Google PAIR Guidebook</t>
        </is>
      </c>
      <c r="B63" t="inlineStr">
        <is>
          <t>在线课程/官方文档</t>
        </is>
      </c>
      <c r="C63" s="2" t="str">
        <f>=HYPERLINK("https://pair.withgoogle.com/guidebook", "https://pair.withgoogle.com/guidebook")</f>
        <v>https://pair.withgoogle.com/guidebook</v>
      </c>
      <c r="D63" t="inlineStr">
        <is>
          <t>【测试】AI系统专项质量验证（对抗测试/偏见检测/可解释性）</t>
        </is>
      </c>
      <c r="E63" t="inlineStr">
        <is>
          <t>⭐⭐⭐</t>
        </is>
      </c>
      <c r="F63" t="inlineStr">
        <is>
          <t>来自AI-Native能力模型_学习进阶路径与参考资料库的官方推荐</t>
        </is>
      </c>
      <c r="G63"/>
    </row>
    <row r="64" ht="25.5" customHeight="1">
      <c r="A64" t="inlineStr">
        <is>
          <t>NIST AI RMF</t>
        </is>
      </c>
      <c r="B64" t="inlineStr">
        <is>
          <t>在线课程/官方文档</t>
        </is>
      </c>
      <c r="C64" s="2" t="str">
        <f>=HYPERLINK("https://www.nist.gov/itl/ai-risk-management-framework", "https://www.nist.gov/itl/ai-risk-management-framework")</f>
        <v>https://www.nist.gov/itl/ai-risk-management-framework</v>
      </c>
      <c r="D64" t="inlineStr">
        <is>
          <t>【测试】AI系统专项质量验证（对抗测试/偏见检测/可解释性）</t>
        </is>
      </c>
      <c r="E64" t="inlineStr">
        <is>
          <t>⭐⭐⭐</t>
        </is>
      </c>
      <c r="F64" t="inlineStr">
        <is>
          <t>来自AI-Native能力模型_学习进阶路径与参考资料库的官方推荐</t>
        </is>
      </c>
      <c r="G64"/>
    </row>
    <row r="65" ht="25.5" customHeight="1">
      <c r="A65" t="inlineStr">
        <is>
          <t>DeepLearning.AI《Automated Testing for LLMOps》</t>
        </is>
      </c>
      <c r="B65" t="inlineStr">
        <is>
          <t>在线课程/官方文档</t>
        </is>
      </c>
      <c r="C65" s="2" t="str">
        <f>=HYPERLINK("https://www.deeplearning.ai/short-courses/automated-testing-llmops", "https://www.deeplearning.ai/short-courses/automated-testing-llmops")</f>
        <v>https://www.deeplearning.ai/short-courses/automated-testing-llmops</v>
      </c>
      <c r="D65" t="inlineStr">
        <is>
          <t>【测试】智能质量门禁与测试左移</t>
        </is>
      </c>
      <c r="E65" t="inlineStr">
        <is>
          <t>⭐⭐⭐</t>
        </is>
      </c>
      <c r="F65" t="inlineStr">
        <is>
          <t>来自AI-Native能力模型_学习进阶路径与参考资料库的官方推荐</t>
        </is>
      </c>
      <c r="G65"/>
    </row>
    <row r="66" ht="25.5" customHeight="1">
      <c r="A66" t="inlineStr">
        <is>
          <t>PMI《Artificial Intelligence in Project Management》官方学习中心</t>
        </is>
      </c>
      <c r="B66" t="inlineStr">
        <is>
          <t>在线课程/官方文档</t>
        </is>
      </c>
      <c r="C66" s="2" t="str">
        <f>=HYPERLINK("https://www.pmi.org/learning/ai-in-project-management", "https://www.pmi.org/learning/ai-in-project-management")</f>
        <v>https://www.pmi.org/learning/ai-in-project-management</v>
      </c>
      <c r="D66" t="inlineStr">
        <is>
          <t>【项目管理】AI辅助项目管理与项目管理数字化工具</t>
        </is>
      </c>
      <c r="E66" t="inlineStr">
        <is>
          <t>⭐⭐⭐</t>
        </is>
      </c>
      <c r="F66" t="inlineStr">
        <is>
          <t>来自AI-Native能力模型_学习进阶路径与参考资料库的官方推荐</t>
        </is>
      </c>
      <c r="G66"/>
    </row>
    <row r="67" ht="25.5" customHeight="1">
      <c r="A67" t="inlineStr">
        <is>
          <t>PMI《Generative AI Overview for Project Managers》</t>
        </is>
      </c>
      <c r="B67" t="inlineStr">
        <is>
          <t>在线课程/官方文档</t>
        </is>
      </c>
      <c r="C67" s="2" t="str">
        <f>=HYPERLINK("https://www.pmi.org/shop/p-/elearning/generative-ai-overview-for-project-managers/el083", "https://www.pmi.org/shop/p-/elearning/generative-ai-overview-for-project-managers/el083")</f>
        <v>https://www.pmi.org/shop/p-/elearning/generative-ai-overview-for-project-managers/el083</v>
      </c>
      <c r="D67" t="inlineStr">
        <is>
          <t>【项目管理】AI辅助项目管理与项目管理数字化工具</t>
        </is>
      </c>
      <c r="E67" t="inlineStr">
        <is>
          <t>⭐⭐⭐</t>
        </is>
      </c>
      <c r="F67" t="inlineStr">
        <is>
          <t>来自AI-Native能力模型_学习进阶路径与参考资料库的官方推荐</t>
        </is>
      </c>
      <c r="G67"/>
    </row>
    <row r="68" ht="25.5" customHeight="1">
      <c r="A68" t="inlineStr">
        <is>
          <t>PMI-CPMAI认证学习路径</t>
        </is>
      </c>
      <c r="B68" t="inlineStr">
        <is>
          <t>在线课程/官方文档</t>
        </is>
      </c>
      <c r="C68" s="2" t="str">
        <f>=HYPERLINK("https://www.pmi.org/learning/ai-in-project-management", "https://www.pmi.org/learning/ai-in-project-management")</f>
        <v>https://www.pmi.org/learning/ai-in-project-management</v>
      </c>
      <c r="D68" t="inlineStr">
        <is>
          <t>【项目管理】AI项目组合管理与数据驱动决策</t>
        </is>
      </c>
      <c r="E68" t="inlineStr">
        <is>
          <t>⭐⭐⭐</t>
        </is>
      </c>
      <c r="F68" t="inlineStr">
        <is>
          <t>来自AI-Native能力模型_学习进阶路径与参考资料库的官方推荐</t>
        </is>
      </c>
      <c r="G68"/>
    </row>
    <row r="69" ht="25.5" customHeight="1">
      <c r="A69" t="inlineStr">
        <is>
          <t>《BPMN Method and Style》</t>
        </is>
      </c>
      <c r="B69" t="inlineStr">
        <is>
          <t>书籍</t>
        </is>
      </c>
      <c r="C69" s="2"/>
      <c r="D69" t="inlineStr">
        <is>
          <t>【FDE】业务流程建模与重构（价值流/业务本体/知识管理等)</t>
        </is>
      </c>
      <c r="E69" t="inlineStr">
        <is>
          <t>⭐⭐⭐</t>
        </is>
      </c>
      <c r="F69" t="inlineStr">
        <is>
          <t>来自AI-Native能力模型_学习进阶路径与参考资料库的官方推荐</t>
        </is>
      </c>
      <c r="G69"/>
    </row>
    <row r="70" ht="25.5" customHeight="1">
      <c r="A70" t="inlineStr">
        <is>
          <t>OMG BPMN官方规范</t>
        </is>
      </c>
      <c r="B70" t="inlineStr">
        <is>
          <t>在线课程/官方文档</t>
        </is>
      </c>
      <c r="C70" s="2" t="str">
        <f>=HYPERLINK("https://www.omg.org/spec/BPMN", "https://www.omg.org/spec/BPMN")</f>
        <v>https://www.omg.org/spec/BPMN</v>
      </c>
      <c r="D70" t="inlineStr">
        <is>
          <t>【FDE】业务流程建模与重构（价值流/业务本体/知识管理等)</t>
        </is>
      </c>
      <c r="E70" t="inlineStr">
        <is>
          <t>⭐⭐⭐</t>
        </is>
      </c>
      <c r="F70" t="inlineStr">
        <is>
          <t>来自AI-Native能力模型_学习进阶路径与参考资料库的官方推荐</t>
        </is>
      </c>
      <c r="G70"/>
    </row>
    <row r="71" ht="25.5" customHeight="1">
      <c r="A71" t="inlineStr">
        <is>
          <t>《AI Engineering: Building Applications with Foundation Models》</t>
        </is>
      </c>
      <c r="B71" t="inlineStr">
        <is>
          <t>书籍</t>
        </is>
      </c>
      <c r="C71" s="2"/>
      <c r="D71" t="inlineStr">
        <is>
          <t>【FDE】AI应用生产部署与交付实施</t>
        </is>
      </c>
      <c r="E71" t="inlineStr">
        <is>
          <t>⭐⭐⭐</t>
        </is>
      </c>
      <c r="F71" t="inlineStr">
        <is>
          <t>来自AI-Native能力模型_学习进阶路径与参考资料库的官方推荐</t>
        </is>
      </c>
      <c r="G71"/>
    </row>
    <row r="72" ht="25.5" customHeight="1">
      <c r="A72" t="inlineStr">
        <is>
          <t>vLLM官方文档</t>
        </is>
      </c>
      <c r="B72" t="inlineStr">
        <is>
          <t>在线课程/官方文档</t>
        </is>
      </c>
      <c r="C72" s="2" t="str">
        <f>=HYPERLINK("https://docs.vllm.ai", "https://docs.vllm.ai")</f>
        <v>https://docs.vllm.ai</v>
      </c>
      <c r="D72" t="inlineStr">
        <is>
          <t>【FDE】AI应用生产部署与交付实施</t>
        </is>
      </c>
      <c r="E72" t="inlineStr">
        <is>
          <t>⭐⭐⭐</t>
        </is>
      </c>
      <c r="F72" t="inlineStr">
        <is>
          <t>来自AI-Native能力模型_学习进阶路径与参考资料库的官方推荐</t>
        </is>
      </c>
      <c r="G72"/>
    </row>
    <row r="73" ht="25.5" customHeight="1">
      <c r="A73" t="inlineStr">
        <is>
          <t>《Leading Change》</t>
        </is>
      </c>
      <c r="B73" t="inlineStr">
        <is>
          <t>书籍</t>
        </is>
      </c>
      <c r="C73" s="2"/>
      <c r="D73" t="inlineStr">
        <is>
          <t>【FDE】流程变革推动与变革管理</t>
        </is>
      </c>
      <c r="E73" t="inlineStr">
        <is>
          <t>⭐⭐⭐</t>
        </is>
      </c>
      <c r="F73" t="inlineStr">
        <is>
          <t>来自AI-Native能力模型_学习进阶路径与参考资料库的官方推荐</t>
        </is>
      </c>
      <c r="G73"/>
    </row>
    <row r="74" ht="25.5" customHeight="1">
      <c r="A74" t="inlineStr">
        <is>
          <t>本体驱动的AI数据管理</t>
        </is>
      </c>
      <c r="B74" t="inlineStr">
        <is>
          <t>书籍</t>
        </is>
      </c>
      <c r="C74" s="2" t="str">
        <f>=HYPERLINK("https://baike.baidu.com/item/%E6%9C%AC%E4%BD%93%E9%A9%B1%E5%8A%A8%E7%9A%84AI%E6%95%B0%E6%8D%AE%E7%AE%A1%E7%90%86/67865910", "https://baike.baidu.com/item/%E6%9C%AC%E4%BD%93%E9%A9%B1%E5%8A%A8%E7%9A%84AI%E6%95%B0%E6%8D%AE%E7%AE%A1%E7%90%86/67865910")</f>
        <v>https://baike.baidu.com/item/%E6%9C%AC%E4%BD%93%E9%A9%B1%E5%8A%A8%E7%9A%84AI%E6%95%B0%E6%8D%AE%E7%AE%A1%E7%90%86/67865910</v>
      </c>
      <c r="D74" t="inlineStr">
        <is>
          <t>【技术-数据】面向AI的数据治理</t>
        </is>
      </c>
      <c r="E74" t="inlineStr">
        <is>
          <t>⭐⭐⭐</t>
        </is>
      </c>
      <c r="F74" t="inlineStr">
        <is>
          <t>AI时代，数据管理已发生重大变化，基于本体驱动的AI数据管理将是未来的主要方向之一</t>
        </is>
      </c>
      <c r="G74" t="inlineStr">
        <is>
          <t>张为普</t>
        </is>
      </c>
    </row>
    <row r="75" ht="25.5" customHeight="1">
      <c r="A75" t="inlineStr">
        <is>
          <t>Follow bulider</t>
        </is>
      </c>
      <c r="B75" t="inlineStr">
        <is>
          <t>文章/其他资料</t>
        </is>
      </c>
      <c r="C75" s="2" t="str">
        <f>=HYPERLINK("https://github.com/zarazhangrui/follow-builders", "https://github.com/zarazhangrui/follow-builders")</f>
        <v>https://github.com/zarazhangrui/follow-builders</v>
      </c>
      <c r="D75" t="inlineStr">
        <is>
          <t>【全员通用】通用AI素养与AI Fluency 4D框架</t>
        </is>
      </c>
      <c r="E75" t="inlineStr">
        <is>
          <t>⭐⭐⭐</t>
        </is>
      </c>
      <c r="F75" t="inlineStr">
        <is>
          <t>本人订阅了部分在 AI 领域活跃度较高的博主或行业资深人士的相关资讯。</t>
        </is>
      </c>
      <c r="G75" t="inlineStr">
        <is>
          <t>邱娟</t>
        </is>
      </c>
    </row>
    <row r="76" ht="25.5" customHeight="1">
      <c r="A76" t="inlineStr">
        <is>
          <t>RTK</t>
        </is>
      </c>
      <c r="B76" t="inlineStr">
        <is>
          <t>在线课程/官方文档</t>
        </is>
      </c>
      <c r="C76" s="2" t="str">
        <f>=HYPERLINK("https://github.com/rtk-ai/rtk", "https://github.com/rtk-ai/rtk")</f>
        <v>https://github.com/rtk-ai/rtk</v>
      </c>
      <c r="D76" t="inlineStr">
        <is>
          <t>【全员通用】知识工程与Context管理</t>
        </is>
      </c>
      <c r="E76" t="inlineStr">
        <is>
          <t>⭐⭐⭐</t>
        </is>
      </c>
      <c r="F76" t="inlineStr">
        <is>
          <t>能减少token消耗</t>
        </is>
      </c>
      <c r="G76" t="inlineStr">
        <is>
          <t>许巍</t>
        </is>
      </c>
    </row>
    <row r="77" ht="25.5" customHeight="1">
      <c r="A77" t="inlineStr">
        <is>
          <t>针对奔驰研发客户出的《Core Function AI提效》6周培训课</t>
        </is>
      </c>
      <c r="B77" t="inlineStr">
        <is>
          <t>文章/其他资料</t>
        </is>
      </c>
      <c r="C77" s="2" t="str">
        <f>=HYPERLINK("https://inspiregroup.feishu.cn/drive/folder/RoDTfZuiKlg5tkdvWsec1yRZnk9", "https://inspiregroup.feishu.cn/drive/folder/RoDTfZuiKlg5tkdvWsec1yRZnk9")</f>
        <v>https://inspiregroup.feishu.cn/drive/folder/RoDTfZuiKlg5tkdvWsec1yRZnk9</v>
      </c>
      <c r="D77" t="inlineStr">
        <is>
          <t>【全员通用】Prompt工程基础与进阶, 【全员通用】知识工程与Context管理, 【技术-应用】Agent系统设计与多智能体架构, 【技术-平台】AI安全治理与AI Governance</t>
        </is>
      </c>
      <c r="E77" t="inlineStr">
        <is>
          <t>⭐⭐⭐</t>
        </is>
      </c>
      <c r="F77" t="inlineStr">
        <is>
          <t>这个是针对奔驰客户出的，目前还不能直接拿去给其他客户，需要脱敏。资料目前只做了3期，需要可以联系我。</t>
        </is>
      </c>
      <c r="G77" t="inlineStr">
        <is>
          <t>张帅</t>
        </is>
      </c>
    </row>
    <row r="78" ht="25.5" customHeight="1">
      <c r="A78" t="inlineStr">
        <is>
          <t>《Hands-On Large Language Models》</t>
        </is>
      </c>
      <c r="B78" t="inlineStr">
        <is>
          <t>书籍</t>
        </is>
      </c>
      <c r="C78" s="2" t="str">
        <f>=HYPERLINK("https://www.oreilly.com/library/view/hands-on-large-language/9781098150969/", "https://www.oreilly.com/library/view/hands-on-large-language/9781098150969/")</f>
        <v>https://www.oreilly.com/library/view/hands-on-large-language/9781098150969/</v>
      </c>
      <c r="D78" t="inlineStr">
        <is>
          <t>【全员通用】通用AI素养与AI Fluency 4D框架</t>
        </is>
      </c>
      <c r="E78" t="inlineStr">
        <is>
          <t>⭐⭐⭐⭐</t>
        </is>
      </c>
      <c r="F78" t="inlineStr">
        <is>
          <t>构建对transformers与embeddings如何处理文本的"可视直觉"。Jay Alammar以机器学习可视化指南闻名，本书把这种可视方法贯穿LLM全生命周期，把抽象数学讲得很"落地"。</t>
        </is>
      </c>
      <c r="G78" t="inlineStr">
        <is>
          <t>张娜</t>
        </is>
      </c>
    </row>
    <row r="79" ht="25.5" customHeight="1">
      <c r="A79" t="inlineStr">
        <is>
          <t>《LLM Engineer's Handbook》</t>
        </is>
      </c>
      <c r="B79" t="inlineStr">
        <is>
          <t>书籍</t>
        </is>
      </c>
      <c r="C79" s="2" t="str">
        <f>=HYPERLINK("https://www.packtpub.com/en-US/product/llm-engineers-handbook-9781836200079", "https://www.packtpub.com/en-US/product/llm-engineers-handbook-9781836200079")</f>
        <v>https://www.packtpub.com/en-US/product/llm-engineers-handbook-9781836200079</v>
      </c>
      <c r="D79" t="inlineStr">
        <is>
          <t>【技术-应用】AI辅助开发(架构设计,  编码与代码审查等)</t>
        </is>
      </c>
      <c r="E79" t="inlineStr">
        <is>
          <t>⭐⭐⭐⭐</t>
        </is>
      </c>
      <c r="F79" t="inlineStr">
        <is>
          <t>动手实现完整的数据与fine-tuning生命周期。手把手带你构建开源系统LLM Twin，从数据收集到模型部署的完整生命周期。你会学到SFT与preference alignment的实用差异，以及parameter-efficient fine-tuning。</t>
        </is>
      </c>
      <c r="G79" t="inlineStr">
        <is>
          <t>张娜</t>
        </is>
      </c>
    </row>
    <row r="80" ht="25.5" customHeight="1">
      <c r="A80" t="inlineStr">
        <is>
          <t>《Designing Multi-Agent Systems》</t>
        </is>
      </c>
      <c r="B80" t="inlineStr">
        <is>
          <t>书籍</t>
        </is>
      </c>
      <c r="C80" s="2" t="str">
        <f>=HYPERLINK("https://www.manning.com/books/designing-multi-agent-systems", "https://www.manning.com/books/designing-multi-agent-systems")</f>
        <v>https://www.manning.com/books/designing-multi-agent-systems</v>
      </c>
      <c r="D80" t="inlineStr">
        <is>
          <t>【技术-应用】Agent系统设计与多智能体架构</t>
        </is>
      </c>
      <c r="E80" t="inlineStr">
        <is>
          <t>⭐⭐⭐⭐</t>
        </is>
      </c>
      <c r="F80" t="inlineStr">
        <is>
          <t>从零学习agent architecture的第一性原理。Victor Dibia是微软首席研究员、AutoGen Studio作者，本书走first-principles路子：从零实现feature-complete的agent库。覆盖collaboration、observability、interruptibility等模式。</t>
        </is>
      </c>
      <c r="G80" t="inlineStr">
        <is>
          <t>张娜</t>
        </is>
      </c>
    </row>
    <row r="81" ht="25.5" customHeight="1">
      <c r="A81" t="inlineStr">
        <is>
          <t>《Building Agentic AI》</t>
        </is>
      </c>
      <c r="B81" t="inlineStr">
        <is>
          <t>书籍</t>
        </is>
      </c>
      <c r="C81" s="2" t="str">
        <f>=HYPERLINK("https://www.informit.com/store/building-agentic-ai-workflows-fine-tuning-optimization-9780135489772", "https://www.informit.com/store/building-agentic-ai-workflows-fine-tuning-optimization-9780135489772")</f>
        <v>https://www.informit.com/store/building-agentic-ai-workflows-fine-tuning-optimization-9780135489772</v>
      </c>
      <c r="D81" t="inlineStr">
        <is>
          <t>【技术-应用】Agent系统设计与多智能体架构</t>
        </is>
      </c>
      <c r="E81" t="inlineStr">
        <is>
          <t>⭐⭐⭐⭐</t>
        </is>
      </c>
      <c r="F81" t="inlineStr">
        <is>
          <t>为企业环境优化agent workflows。Sinan Ozdemir带你超越基本chatbots，构建能产生可量化业务价值的autonomous agents。覆盖multimodal AI、quantization、speculative decoding等优化。</t>
        </is>
      </c>
      <c r="G81" t="inlineStr">
        <is>
          <t>张娜</t>
        </is>
      </c>
    </row>
    <row r="82" ht="25.5" customHeight="1">
      <c r="A82" t="inlineStr">
        <is>
          <t>《Agentic AI Engineering》</t>
        </is>
      </c>
      <c r="B82" t="inlineStr">
        <is>
          <t>书籍</t>
        </is>
      </c>
      <c r="C82" s="2" t="str">
        <f>=HYPERLINK("https://argolong.com/agentic-engineering-book", "https://argolong.com/agentic-engineering-book")</f>
        <v>https://argolong.com/agentic-engineering-book</v>
      </c>
      <c r="D82" t="inlineStr">
        <is>
          <t>【技术-应用】AI系统与Agent评估监测</t>
        </is>
      </c>
      <c r="E82" t="inlineStr">
        <is>
          <t>⭐⭐⭐⭐</t>
        </is>
      </c>
      <c r="F82" t="inlineStr">
        <is>
          <t>让agents扛住真实世界与合规审计。Yi Zhou提出Agentic Stack、Agentic Maturity Ladder、Trust Envelope。你会为"运动中的信任"而工程化——让系统在不确定中推理、又能负责任地自适应。</t>
        </is>
      </c>
      <c r="G82" t="inlineStr">
        <is>
          <t>张娜</t>
        </is>
      </c>
    </row>
    <row r="83" ht="25.5" customHeight="1">
      <c r="A83" t="inlineStr">
        <is>
          <t>《LLMOps: Managing Large Language Models in Production》</t>
        </is>
      </c>
      <c r="B83" t="inlineStr">
        <is>
          <t>书籍</t>
        </is>
      </c>
      <c r="C83" s="2" t="str">
        <f>=HYPERLINK("https://www.oreilly.com/library/view/llmops/9781098154165/", "https://www.oreilly.com/library/view/llmops/9781098154165/")</f>
        <v>https://www.oreilly.com/library/view/llmops/9781098154165/</v>
      </c>
      <c r="D83" t="inlineStr">
        <is>
          <t>【技术-平台】LLMOps平台设计与模型全生命周期管理</t>
        </is>
      </c>
      <c r="E83" t="inlineStr">
        <is>
          <t>⭐⭐⭐⭐</t>
        </is>
      </c>
      <c r="F83" t="inlineStr">
        <is>
          <t>在真金白银场景下让LLM systems平稳运行。Abi Aryan讲清新的LLMOps学科：如何处理prompt drift、如何运行automated regression tests。传统MLOps面对generative AI会"土崩瓦解"。</t>
        </is>
      </c>
      <c r="G83" t="inlineStr">
        <is>
          <t>张娜</t>
        </is>
      </c>
    </row>
    <row r="84" ht="25.5" customHeight="1">
      <c r="A84" t="inlineStr">
        <is>
          <t>《AI Systems Performance Engineering》</t>
        </is>
      </c>
      <c r="B84" t="inlineStr">
        <is>
          <t>书籍</t>
        </is>
      </c>
      <c r="C84" s="2"/>
      <c r="D84" t="inlineStr">
        <is>
          <t>【技术-平台】模型推理优化与加速（量化/推理服务）</t>
        </is>
      </c>
      <c r="E84" t="inlineStr">
        <is>
          <t>⭐⭐⭐⭐</t>
        </is>
      </c>
      <c r="F84" t="inlineStr">
        <is>
          <t>在hardware、software、algorithms三层做硬核优化。Chris Fregly深入GPU memory management、CUDA kernels与基于PyTorch的算法。你会学会profile、诊断并清除复杂AI pipelines的performance bottlenecks。</t>
        </is>
      </c>
      <c r="G84" t="inlineStr">
        <is>
          <t>张娜</t>
        </is>
      </c>
    </row>
    <row r="85" ht="25.5" customHeight="1">
      <c r="A85" t="inlineStr">
        <is>
          <t>《Generative AI Design Patterns》</t>
        </is>
      </c>
      <c r="B85" t="inlineStr">
        <is>
          <t>书籍</t>
        </is>
      </c>
      <c r="C85" s="2"/>
      <c r="D85" t="inlineStr">
        <is>
          <t>【技术-应用】LLM应用技术选型与架构设计</t>
        </is>
      </c>
      <c r="E85" t="inlineStr">
        <is>
          <t>⭐⭐⭐⭐</t>
        </is>
      </c>
      <c r="F85" t="inlineStr">
        <is>
          <t>32个成熟的设计模式，直击你每天遇到的挑战：hallucinations、nondeterministic responses、knowledge cutoffs。每个pattern都描述特定问题、给出带代码的验证解，并讨论取舍。你和团队会拥有共享词汇。</t>
        </is>
      </c>
      <c r="G85" t="inlineStr">
        <is>
          <t>张娜</t>
        </is>
      </c>
    </row>
    <row r="86" ht="25.5" customHeight="1">
      <c r="A86" t="inlineStr">
        <is>
          <t>《Mastering Retrieval-Augmented Generation》</t>
        </is>
      </c>
      <c r="B86" t="inlineStr">
        <is>
          <t>书籍</t>
        </is>
      </c>
      <c r="C86" s="2"/>
      <c r="D86" t="inlineStr">
        <is>
          <t>【技术-数据】语义检索系统设计与RAG</t>
        </is>
      </c>
      <c r="E86" t="inlineStr">
        <is>
          <t>⭐⭐⭐⭐</t>
        </is>
      </c>
      <c r="F86" t="inlineStr">
        <is>
          <t>把RAG从周末原型扩到企业级生产系统。Ranajoy Bose系统讲解document processing与vector optimization的成熟技巧，覆盖graph-based approaches与multi-modal systems等高级检索策略。你会学到如何fine-tune embedding models。</t>
        </is>
      </c>
      <c r="G86" t="inlineStr">
        <is>
          <t>张娜</t>
        </is>
      </c>
    </row>
    <row r="87" ht="25.5" customHeight="1">
      <c r="A87" t="inlineStr">
        <is>
          <t>《System Design For Large Language Models》</t>
        </is>
      </c>
      <c r="B87" t="inlineStr">
        <is>
          <t>书籍</t>
        </is>
      </c>
      <c r="C87" s="2"/>
      <c r="D87" t="inlineStr">
        <is>
          <t>【技术-应用】LLM应用技术选型与架构设计</t>
        </is>
      </c>
      <c r="E87" t="inlineStr">
        <is>
          <t>⭐⭐⭐⭐</t>
        </is>
      </c>
      <c r="F87" t="inlineStr">
        <is>
          <t>把prompts当成"严肃的系统边界"，而非"文案活儿"。Marc Rolland构建严谨的systems框架，汲取systems engineering、safety analysis、control theory的方法。你会打造让failure"可被观测"的observability mechanisms。</t>
        </is>
      </c>
      <c r="G87" t="inlineStr">
        <is>
          <t>张娜</t>
        </is>
      </c>
    </row>
    <row r="88" ht="25.5" customHeight="1">
      <c r="A88" t="inlineStr">
        <is>
          <t>Anthropic Official Blog</t>
        </is>
      </c>
      <c r="B88" t="inlineStr">
        <is>
          <t>文章/其他资料</t>
        </is>
      </c>
      <c r="C88" s="2" t="str">
        <f>=HYPERLINK("https://claude.com/blog", "https://claude.com/blog")</f>
        <v>https://claude.com/blog</v>
      </c>
      <c r="D88"/>
      <c r="E88" t="inlineStr">
        <is>
          <t>⭐⭐⭐⭐</t>
        </is>
      </c>
      <c r="F88" t="inlineStr">
        <is>
          <t>Anthropic 作为全球领先的 AI 实验室，其官方博客是获取最新前沿资讯和企业级 AI 使用最佳实践的便捷渠道。</t>
        </is>
      </c>
      <c r="G88" t="inlineStr">
        <is>
          <t>李渊</t>
        </is>
      </c>
    </row>
    <row r="89" ht="25.5" customHeight="1">
      <c r="A89" t="inlineStr">
        <is>
          <t>tw93 撰写的系列文章</t>
        </is>
      </c>
      <c r="B89" t="inlineStr">
        <is>
          <t>文章/其他资料</t>
        </is>
      </c>
      <c r="C89" s="2" t="str">
        <f>=HYPERLINK("https://tw93.fun/2026-03-21/agent.html", "https://tw93.fun/2026-03-21/agent.html")</f>
        <v>https://tw93.fun/2026-03-21/agent.html</v>
      </c>
      <c r="D89" t="inlineStr">
        <is>
          <t>【全员通用】通用AI素养与AI Fluency 4D框架</t>
        </is>
      </c>
      <c r="E89" t="inlineStr">
        <is>
          <t>⭐⭐⭐⭐</t>
        </is>
      </c>
      <c r="F89" t="inlineStr">
        <is>
          <t>Tw93 写了三篇，一篇比一篇深：非技术人怎么上手 AI Coding → Claude Code 怎么工程化地用 → Agent 原理和架构。实战踩坑多，不是那种空讲趋势的文章。</t>
        </is>
      </c>
      <c r="G89"/>
    </row>
  </sheetData>
  <dataValidations count="2">
    <dataValidation allowBlank="false" sqref="B2:B88" type="list">
      <formula1>"书籍,在线课程/官方文档,文章/其他资料"</formula1>
    </dataValidation>
    <dataValidation allowBlank="false" sqref="E2:E88" type="list">
      <formula1>"⭐⭐⭐,⭐⭐⭐⭐"</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